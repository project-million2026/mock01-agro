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\Downloads\"/>
    </mc:Choice>
  </mc:AlternateContent>
  <xr:revisionPtr revIDLastSave="0" documentId="13_ncr:1_{10149D30-EFFA-47BA-AEE8-BD360C3AEAB4}" xr6:coauthVersionLast="47" xr6:coauthVersionMax="47" xr10:uidLastSave="{00000000-0000-0000-0000-000000000000}"/>
  <bookViews>
    <workbookView xWindow="-120" yWindow="-120" windowWidth="20730" windowHeight="11310" xr2:uid="{975B2F51-39D2-471E-8EB2-B4ADBEDDFA9E}"/>
  </bookViews>
  <sheets>
    <sheet name="Configura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J12" i="1"/>
  <c r="J11" i="1"/>
  <c r="F37" i="1"/>
  <c r="D37" i="1"/>
  <c r="F36" i="1"/>
  <c r="D36" i="1"/>
  <c r="F35" i="1"/>
  <c r="F34" i="1"/>
  <c r="D34" i="1"/>
  <c r="F33" i="1"/>
  <c r="F32" i="1"/>
  <c r="D32" i="1"/>
  <c r="F31" i="1"/>
  <c r="D31" i="1"/>
  <c r="F30" i="1"/>
  <c r="D30" i="1"/>
  <c r="F29" i="1"/>
  <c r="D29" i="1"/>
  <c r="F28" i="1"/>
  <c r="D28" i="1"/>
  <c r="F27" i="1"/>
  <c r="D27" i="1"/>
  <c r="F26" i="1"/>
  <c r="D26" i="1"/>
  <c r="F25" i="1"/>
  <c r="D25" i="1"/>
  <c r="F24" i="1"/>
  <c r="D24" i="1"/>
  <c r="F23" i="1"/>
  <c r="D23" i="1"/>
  <c r="F22" i="1"/>
  <c r="G37" i="1" s="1"/>
  <c r="H37" i="1" s="1"/>
  <c r="D22" i="1"/>
  <c r="F21" i="1"/>
  <c r="D21" i="1"/>
  <c r="J20" i="1"/>
  <c r="D20" i="1"/>
  <c r="F20" i="1" s="1"/>
  <c r="J19" i="1"/>
  <c r="F19" i="1"/>
  <c r="D19" i="1"/>
  <c r="J18" i="1"/>
  <c r="F18" i="1"/>
  <c r="D18" i="1"/>
  <c r="F17" i="1"/>
  <c r="D17" i="1"/>
  <c r="F16" i="1"/>
  <c r="D16" i="1"/>
  <c r="F15" i="1"/>
  <c r="D15" i="1"/>
  <c r="F14" i="1"/>
  <c r="D14" i="1"/>
  <c r="F13" i="1"/>
  <c r="D13" i="1"/>
  <c r="F12" i="1"/>
  <c r="D12" i="1"/>
  <c r="F11" i="1"/>
  <c r="D11" i="1"/>
  <c r="F10" i="1"/>
  <c r="D10" i="1"/>
  <c r="F9" i="1"/>
  <c r="D9" i="1"/>
  <c r="D8" i="1"/>
  <c r="F8" i="1" s="1"/>
  <c r="F7" i="1"/>
  <c r="D7" i="1"/>
  <c r="F6" i="1"/>
  <c r="D6" i="1"/>
  <c r="D5" i="1"/>
  <c r="F5" i="1" s="1"/>
  <c r="F4" i="1"/>
  <c r="D4" i="1"/>
  <c r="D3" i="1"/>
  <c r="F3" i="1" s="1"/>
  <c r="D2" i="1"/>
  <c r="F2" i="1" s="1"/>
  <c r="G5" i="1" s="1"/>
  <c r="H5" i="1" s="1"/>
  <c r="G21" i="1" l="1"/>
  <c r="H21" i="1" s="1"/>
  <c r="J10" i="1" s="1"/>
  <c r="J17" i="1" l="1"/>
  <c r="J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Suporte</author>
  </authors>
  <commentList>
    <comment ref="E1" authorId="0" shapeId="0" xr:uid="{4A89D0BB-5BEB-4591-87AD-A1399AA9214E}">
      <text>
        <r>
          <rPr>
            <b/>
            <sz val="9"/>
            <color indexed="81"/>
            <rFont val="Segoe UI"/>
            <family val="2"/>
          </rPr>
          <t>Suporte:</t>
        </r>
        <r>
          <rPr>
            <sz val="9"/>
            <color indexed="81"/>
            <rFont val="Segoe UI"/>
            <family val="2"/>
          </rPr>
          <t xml:space="preserve">
Selecione SIM para habilitar
Selecione NÃO para desabilitar</t>
        </r>
      </text>
    </comment>
    <comment ref="K1" authorId="0" shapeId="0" xr:uid="{3E4DAFBD-EDA5-4880-80C4-76DF31E014AC}">
      <text>
        <r>
          <rPr>
            <b/>
            <sz val="9"/>
            <color indexed="81"/>
            <rFont val="Segoe UI"/>
            <family val="2"/>
          </rPr>
          <t>Suporte:</t>
        </r>
        <r>
          <rPr>
            <sz val="9"/>
            <color indexed="81"/>
            <rFont val="Segoe UI"/>
            <family val="2"/>
          </rPr>
          <t xml:space="preserve">
Defina a sequência de scan das tecnologias
Deixe em branco para não escanear</t>
        </r>
      </text>
    </comment>
    <comment ref="M1" authorId="0" shapeId="0" xr:uid="{0B564060-8A60-420C-9C1A-1FD90075E8E3}">
      <text>
        <r>
          <rPr>
            <b/>
            <sz val="9"/>
            <color indexed="81"/>
            <rFont val="Segoe UI"/>
            <family val="2"/>
          </rPr>
          <t>Suporte:</t>
        </r>
        <r>
          <rPr>
            <sz val="9"/>
            <color indexed="81"/>
            <rFont val="Segoe UI"/>
            <family val="2"/>
          </rPr>
          <t xml:space="preserve">
Selecione qual tecnologia LTE será usada
eMTC (Cat-M1) ou NB-IoT</t>
        </r>
      </text>
    </comment>
    <comment ref="M4" authorId="0" shapeId="0" xr:uid="{6BF7F1F0-8078-4A97-8818-DE3181A9B1A7}">
      <text>
        <r>
          <rPr>
            <b/>
            <sz val="9"/>
            <color indexed="81"/>
            <rFont val="Segoe UI"/>
            <family val="2"/>
          </rPr>
          <t>Suporte:</t>
        </r>
        <r>
          <rPr>
            <sz val="9"/>
            <color indexed="81"/>
            <rFont val="Segoe UI"/>
            <family val="2"/>
          </rPr>
          <t xml:space="preserve">
Selecione qual tecnolgia será priorizada
GSM ou LTE</t>
        </r>
      </text>
    </comment>
  </commentList>
</comments>
</file>

<file path=xl/sharedStrings.xml><?xml version="1.0" encoding="utf-8"?>
<sst xmlns="http://schemas.openxmlformats.org/spreadsheetml/2006/main" count="102" uniqueCount="45">
  <si>
    <t>Tecnologia</t>
  </si>
  <si>
    <t>Banda</t>
  </si>
  <si>
    <t>Frequência</t>
  </si>
  <si>
    <t>Parâmetro</t>
  </si>
  <si>
    <t>Habilitar?</t>
  </si>
  <si>
    <t>Usadas</t>
  </si>
  <si>
    <t>Soma dec</t>
  </si>
  <si>
    <t>Soma hex</t>
  </si>
  <si>
    <t>Sequência</t>
  </si>
  <si>
    <t>Modo de op. IoT</t>
  </si>
  <si>
    <t>GSM (2G)</t>
  </si>
  <si>
    <t>B8</t>
  </si>
  <si>
    <t>SIM</t>
  </si>
  <si>
    <t>GSM</t>
  </si>
  <si>
    <t>eMTC</t>
  </si>
  <si>
    <t>B3</t>
  </si>
  <si>
    <t>B5</t>
  </si>
  <si>
    <t>NB-IoT</t>
  </si>
  <si>
    <t>Prioridade de rede</t>
  </si>
  <si>
    <t>B2</t>
  </si>
  <si>
    <t>Automático</t>
  </si>
  <si>
    <t>eMTC
(4G Cat-M1)</t>
  </si>
  <si>
    <t>B1</t>
  </si>
  <si>
    <t>NÃO</t>
  </si>
  <si>
    <t>Configurações para VL08/VL12/VC07</t>
  </si>
  <si>
    <t>B4</t>
  </si>
  <si>
    <t>B12</t>
  </si>
  <si>
    <t>B13</t>
  </si>
  <si>
    <t>B18</t>
  </si>
  <si>
    <t>B19</t>
  </si>
  <si>
    <t>B20</t>
  </si>
  <si>
    <t>Configurações para VL06</t>
  </si>
  <si>
    <t>B25</t>
  </si>
  <si>
    <t>B26</t>
  </si>
  <si>
    <t>B27</t>
  </si>
  <si>
    <t>B28</t>
  </si>
  <si>
    <t>B31</t>
  </si>
  <si>
    <t>Observações importantes</t>
  </si>
  <si>
    <t>* Bandas homologadas na Anatel para operar no Brasil</t>
  </si>
  <si>
    <t>Atenção ao usar as bandas NB-IoT:</t>
  </si>
  <si>
    <r>
      <t xml:space="preserve">- As bandas NB-IoT são ideais para aplicações em dispositivos que </t>
    </r>
    <r>
      <rPr>
        <b/>
        <sz val="11"/>
        <rFont val="Calibri"/>
        <family val="2"/>
        <scheme val="minor"/>
      </rPr>
      <t>não</t>
    </r>
  </si>
  <si>
    <t>realizam deslocamento</t>
  </si>
  <si>
    <t>- Não é recomendado habilitá-las para aplicações em ativos móveis</t>
  </si>
  <si>
    <t>- Não é recomendado habilitá-las para aplicações que demandem um</t>
  </si>
  <si>
    <t>alto volume de transmissão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</si>
</sst>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4" borderId="1" xfId="0" applyFont="1" applyFill="1" applyBorder="1"/>
    <xf numFmtId="0" fontId="0" fillId="4" borderId="1" xfId="0" applyFill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5" borderId="1" xfId="0" applyFill="1" applyBorder="1"/>
    <xf numFmtId="0" fontId="4" fillId="0" borderId="0" xfId="0" applyFont="1"/>
    <xf numFmtId="0" fontId="2" fillId="3" borderId="1" xfId="0" applyFont="1" applyFill="1" applyBorder="1"/>
    <xf numFmtId="0" fontId="0" fillId="3" borderId="1" xfId="0" applyFill="1" applyBorder="1"/>
    <xf numFmtId="0" fontId="0" fillId="0" borderId="7" xfId="0" applyBorder="1"/>
    <xf numFmtId="0" fontId="0" fillId="0" borderId="8" xfId="0" applyBorder="1"/>
    <xf numFmtId="0" fontId="0" fillId="4" borderId="7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8" xfId="0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0" fontId="3" fillId="0" borderId="7" xfId="0" quotePrefix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7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7" xfId="0" quotePrefix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4" xfId="0" applyFill="1" applyBorder="1" applyAlignment="1">
      <alignment horizontal="left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8E47-7A55-4375-8AD6-1CF1AC2B000B}">
  <dimension ref="A1:M37"/>
  <sheetViews>
    <sheetView tabSelected="1" workbookViewId="0">
      <selection activeCell="E7" sqref="E7"/>
    </sheetView>
  </sheetViews>
  <sheetFormatPr defaultRowHeight="15" x14ac:dyDescent="0.25"/>
  <cols>
    <col min="1" max="1" width="12.5703125" customWidth="1"/>
    <col min="3" max="3" width="10.85546875" bestFit="1" customWidth="1"/>
    <col min="4" max="4" width="12" hidden="1" customWidth="1"/>
    <col min="5" max="5" width="12" customWidth="1"/>
    <col min="6" max="8" width="9.140625" hidden="1" customWidth="1"/>
    <col min="10" max="10" width="20.140625" customWidth="1"/>
    <col min="11" max="11" width="10.140625" bestFit="1" customWidth="1"/>
    <col min="13" max="13" width="25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J1" s="1" t="s">
        <v>0</v>
      </c>
      <c r="K1" s="1" t="s">
        <v>8</v>
      </c>
      <c r="M1" s="1" t="s">
        <v>9</v>
      </c>
    </row>
    <row r="2" spans="1:13" x14ac:dyDescent="0.25">
      <c r="A2" s="25" t="s">
        <v>10</v>
      </c>
      <c r="B2" s="3" t="s">
        <v>11</v>
      </c>
      <c r="C2" s="4">
        <v>900</v>
      </c>
      <c r="D2" s="5">
        <f>HEX2DEC(1)</f>
        <v>1</v>
      </c>
      <c r="E2" s="6" t="s">
        <v>12</v>
      </c>
      <c r="F2" s="5">
        <f>IF(E2="SIM",D2,0)</f>
        <v>1</v>
      </c>
      <c r="G2" s="5"/>
      <c r="H2" s="5"/>
      <c r="J2" s="7" t="s">
        <v>13</v>
      </c>
      <c r="K2" s="6">
        <v>2</v>
      </c>
      <c r="M2" s="6" t="s">
        <v>14</v>
      </c>
    </row>
    <row r="3" spans="1:13" x14ac:dyDescent="0.25">
      <c r="A3" s="25"/>
      <c r="B3" s="3" t="s">
        <v>15</v>
      </c>
      <c r="C3" s="4">
        <v>1800</v>
      </c>
      <c r="D3" s="5">
        <f>HEX2DEC(2)</f>
        <v>2</v>
      </c>
      <c r="E3" s="6" t="s">
        <v>12</v>
      </c>
      <c r="F3" s="5">
        <f t="shared" ref="F3:F37" si="0">IF(E3="SIM",D3,0)</f>
        <v>2</v>
      </c>
      <c r="G3" s="5"/>
      <c r="H3" s="5"/>
      <c r="J3" s="7" t="s">
        <v>14</v>
      </c>
      <c r="K3" s="6">
        <v>1</v>
      </c>
    </row>
    <row r="4" spans="1:13" x14ac:dyDescent="0.25">
      <c r="A4" s="25"/>
      <c r="B4" s="3" t="s">
        <v>16</v>
      </c>
      <c r="C4" s="4">
        <v>850</v>
      </c>
      <c r="D4" s="5">
        <f>HEX2DEC(4)</f>
        <v>4</v>
      </c>
      <c r="E4" s="6" t="s">
        <v>12</v>
      </c>
      <c r="F4" s="5">
        <f t="shared" si="0"/>
        <v>4</v>
      </c>
      <c r="G4" s="5"/>
      <c r="H4" s="5"/>
      <c r="J4" s="7" t="s">
        <v>17</v>
      </c>
      <c r="K4" s="6"/>
      <c r="M4" s="1" t="s">
        <v>18</v>
      </c>
    </row>
    <row r="5" spans="1:13" x14ac:dyDescent="0.25">
      <c r="A5" s="25"/>
      <c r="B5" s="3" t="s">
        <v>19</v>
      </c>
      <c r="C5" s="4">
        <v>1900</v>
      </c>
      <c r="D5" s="5">
        <f>HEX2DEC(8)</f>
        <v>8</v>
      </c>
      <c r="E5" s="6" t="s">
        <v>12</v>
      </c>
      <c r="F5" s="5">
        <f t="shared" si="0"/>
        <v>8</v>
      </c>
      <c r="G5" s="5">
        <f>SUM(F2:F5)</f>
        <v>15</v>
      </c>
      <c r="H5" s="7" t="str">
        <f>DEC2HEX(G5)</f>
        <v>F</v>
      </c>
      <c r="K5" s="8"/>
      <c r="M5" s="6" t="s">
        <v>20</v>
      </c>
    </row>
    <row r="6" spans="1:13" x14ac:dyDescent="0.25">
      <c r="A6" s="26" t="s">
        <v>21</v>
      </c>
      <c r="B6" s="3" t="s">
        <v>22</v>
      </c>
      <c r="C6" s="4">
        <v>2100</v>
      </c>
      <c r="D6" s="5">
        <f>HEX2DEC(1)</f>
        <v>1</v>
      </c>
      <c r="E6" s="6" t="s">
        <v>12</v>
      </c>
      <c r="F6" s="5">
        <f t="shared" si="0"/>
        <v>1</v>
      </c>
      <c r="G6" s="5"/>
      <c r="H6" s="5"/>
    </row>
    <row r="7" spans="1:13" x14ac:dyDescent="0.25">
      <c r="A7" s="27"/>
      <c r="B7" s="3" t="s">
        <v>19</v>
      </c>
      <c r="C7" s="4">
        <v>1900</v>
      </c>
      <c r="D7" s="5">
        <f>HEX2DEC(2)</f>
        <v>2</v>
      </c>
      <c r="E7" s="6" t="s">
        <v>23</v>
      </c>
      <c r="F7" s="5">
        <f t="shared" si="0"/>
        <v>0</v>
      </c>
      <c r="G7" s="5"/>
      <c r="H7" s="5"/>
    </row>
    <row r="8" spans="1:13" x14ac:dyDescent="0.25">
      <c r="A8" s="27"/>
      <c r="B8" s="3" t="s">
        <v>15</v>
      </c>
      <c r="C8" s="4">
        <v>1800</v>
      </c>
      <c r="D8" s="5">
        <f>HEX2DEC(4)</f>
        <v>4</v>
      </c>
      <c r="E8" s="6" t="s">
        <v>12</v>
      </c>
      <c r="F8" s="5">
        <f t="shared" si="0"/>
        <v>4</v>
      </c>
      <c r="G8" s="5"/>
      <c r="H8" s="5"/>
      <c r="J8" s="28" t="s">
        <v>24</v>
      </c>
      <c r="K8" s="29"/>
      <c r="L8" s="29"/>
      <c r="M8" s="30"/>
    </row>
    <row r="9" spans="1:13" x14ac:dyDescent="0.25">
      <c r="A9" s="27"/>
      <c r="B9" s="9" t="s">
        <v>25</v>
      </c>
      <c r="C9" s="10">
        <v>1700</v>
      </c>
      <c r="D9" s="5">
        <f>HEX2DEC(8)</f>
        <v>8</v>
      </c>
      <c r="E9" s="6" t="s">
        <v>12</v>
      </c>
      <c r="F9" s="5">
        <f t="shared" si="0"/>
        <v>8</v>
      </c>
      <c r="G9" s="5"/>
      <c r="H9" s="5"/>
      <c r="J9" s="44" t="str">
        <f>_xlfn.CONCAT("&gt;SISHAT+QCFG=",CHAR(34),"band",CHAR(34),",",H5,",",H21,",",H37,"r&lt;")</f>
        <v>&gt;SISHAT+QCFG="band",F,800000D,0r&lt;</v>
      </c>
      <c r="K9" s="45"/>
      <c r="L9" s="45"/>
      <c r="M9" s="46"/>
    </row>
    <row r="10" spans="1:13" x14ac:dyDescent="0.25">
      <c r="A10" s="27"/>
      <c r="B10" s="3" t="s">
        <v>16</v>
      </c>
      <c r="C10" s="4">
        <v>850</v>
      </c>
      <c r="D10" s="5">
        <f>HEX2DEC(10)</f>
        <v>16</v>
      </c>
      <c r="E10" s="6" t="s">
        <v>23</v>
      </c>
      <c r="F10" s="5">
        <f t="shared" si="0"/>
        <v>0</v>
      </c>
      <c r="G10" s="5"/>
      <c r="H10" s="5"/>
      <c r="J10" s="32" t="str">
        <f>_xlfn.CONCAT("&gt;SIShAT+QCFG=",CHAR(34),"band",CHAR(34),",",H5,",",H21,",",H37,"r&lt;")</f>
        <v>&gt;SIShAT+QCFG="band",F,800000D,0r&lt;</v>
      </c>
      <c r="K10" s="33"/>
      <c r="L10" s="33"/>
      <c r="M10" s="34"/>
    </row>
    <row r="11" spans="1:13" x14ac:dyDescent="0.25">
      <c r="A11" s="27"/>
      <c r="B11" s="3" t="s">
        <v>11</v>
      </c>
      <c r="C11" s="4">
        <v>900</v>
      </c>
      <c r="D11" s="5">
        <f>HEX2DEC(80)</f>
        <v>128</v>
      </c>
      <c r="E11" s="6" t="s">
        <v>23</v>
      </c>
      <c r="F11" s="5">
        <f t="shared" si="0"/>
        <v>0</v>
      </c>
      <c r="G11" s="5"/>
      <c r="H11" s="5"/>
      <c r="J11" s="32" t="str">
        <f>_xlfn.CONCAT("&gt;SISIAT+QCFG=",CHAR(34),"nwscanseq",CHAR(34),",",IF(K2=1,"01",""),IF(K3=1,"02",""),IF(K4=1,"03",""),IF(K2=2,"01",""),IF(K3=2,"02",""),IF(K4=2,"03",""),IF(K2=3,"01",""),IF(K3=3,"02",""),IF(K4=3,"03",""),"r&lt;")</f>
        <v>&gt;SISIAT+QCFG="nwscanseq",0201r&lt;</v>
      </c>
      <c r="K11" s="33"/>
      <c r="L11" s="33"/>
      <c r="M11" s="34"/>
    </row>
    <row r="12" spans="1:13" x14ac:dyDescent="0.25">
      <c r="A12" s="27"/>
      <c r="B12" s="9" t="s">
        <v>26</v>
      </c>
      <c r="C12" s="10"/>
      <c r="D12" s="5">
        <f>HEX2DEC(800)</f>
        <v>2048</v>
      </c>
      <c r="E12" s="6" t="s">
        <v>23</v>
      </c>
      <c r="F12" s="5">
        <f t="shared" si="0"/>
        <v>0</v>
      </c>
      <c r="G12" s="5"/>
      <c r="H12" s="5"/>
      <c r="J12" s="32" t="str">
        <f>_xlfn.CONCAT("&gt;SISiAT+QCFG=",CHAR(34),"nwscanseq",CHAR(34),",",IF(K2=1,"01",""),IF(K3=1,"02",""),IF(K4=1,"03",""),IF(K2=2,"01",""),IF(K3=2,"02",""),IF(K4=2,"03",""),IF(K2=3,"01",""),IF(K3=3,"02",""),IF(K4=3,"03",""),"r&lt;")</f>
        <v>&gt;SISiAT+QCFG="nwscanseq",0201r&lt;</v>
      </c>
      <c r="K12" s="33"/>
      <c r="L12" s="33"/>
      <c r="M12" s="34"/>
    </row>
    <row r="13" spans="1:13" x14ac:dyDescent="0.25">
      <c r="A13" s="27"/>
      <c r="B13" s="9" t="s">
        <v>27</v>
      </c>
      <c r="C13" s="10"/>
      <c r="D13" s="5">
        <f>HEX2DEC(1000)</f>
        <v>4096</v>
      </c>
      <c r="E13" s="6" t="s">
        <v>23</v>
      </c>
      <c r="F13" s="5">
        <f t="shared" si="0"/>
        <v>0</v>
      </c>
      <c r="G13" s="5"/>
      <c r="H13" s="5"/>
      <c r="J13" s="32" t="str">
        <f>_xlfn.CONCAT("&gt;SISJAT+QCFG=",CHAR(34),"iotopmode",CHAR(34),",",IF(M2="eMTC","0",""),IF(M2="NB-IoT","1",""),IF(M2="Ambos","2",""),",1r&lt;")</f>
        <v>&gt;SISJAT+QCFG="iotopmode",0,1r&lt;</v>
      </c>
      <c r="K13" s="33"/>
      <c r="L13" s="33"/>
      <c r="M13" s="34"/>
    </row>
    <row r="14" spans="1:13" x14ac:dyDescent="0.25">
      <c r="A14" s="27"/>
      <c r="B14" s="9" t="s">
        <v>28</v>
      </c>
      <c r="C14" s="10"/>
      <c r="D14" s="5">
        <f>HEX2DEC(20000)</f>
        <v>131072</v>
      </c>
      <c r="E14" s="6" t="s">
        <v>23</v>
      </c>
      <c r="F14" s="5">
        <f t="shared" si="0"/>
        <v>0</v>
      </c>
      <c r="G14" s="5"/>
      <c r="H14" s="5"/>
      <c r="J14" s="35" t="str">
        <f>_xlfn.CONCAT("&gt;SISjAT+QCFG=",CHAR(34),"iotopmode",CHAR(34),",",IF(M2="eMTC","0",""),IF(M2="NB-IoT","1",""),IF(M2="Ambos","2",""),",1r&lt;")</f>
        <v>&gt;SISjAT+QCFG="iotopmode",0,1r&lt;</v>
      </c>
      <c r="K14" s="36"/>
      <c r="L14" s="36"/>
      <c r="M14" s="37"/>
    </row>
    <row r="15" spans="1:13" x14ac:dyDescent="0.25">
      <c r="A15" s="27"/>
      <c r="B15" s="9" t="s">
        <v>29</v>
      </c>
      <c r="C15" s="10"/>
      <c r="D15" s="5">
        <f>HEX2DEC(40000)</f>
        <v>262144</v>
      </c>
      <c r="E15" s="6" t="s">
        <v>23</v>
      </c>
      <c r="F15" s="5">
        <f t="shared" si="0"/>
        <v>0</v>
      </c>
      <c r="G15" s="5"/>
      <c r="H15" s="5"/>
    </row>
    <row r="16" spans="1:13" x14ac:dyDescent="0.25">
      <c r="A16" s="27"/>
      <c r="B16" s="9" t="s">
        <v>30</v>
      </c>
      <c r="C16" s="10"/>
      <c r="D16" s="5">
        <f>HEX2DEC(80000)</f>
        <v>524288</v>
      </c>
      <c r="E16" s="6" t="s">
        <v>23</v>
      </c>
      <c r="F16" s="5">
        <f t="shared" si="0"/>
        <v>0</v>
      </c>
      <c r="G16" s="5"/>
      <c r="H16" s="5"/>
      <c r="J16" s="31" t="s">
        <v>31</v>
      </c>
      <c r="K16" s="31"/>
      <c r="L16" s="31"/>
      <c r="M16" s="31"/>
    </row>
    <row r="17" spans="1:13" x14ac:dyDescent="0.25">
      <c r="A17" s="27"/>
      <c r="B17" s="9" t="s">
        <v>32</v>
      </c>
      <c r="C17" s="10"/>
      <c r="D17" s="5">
        <f>HEX2DEC(1000000)</f>
        <v>16777216</v>
      </c>
      <c r="E17" s="6" t="s">
        <v>23</v>
      </c>
      <c r="F17" s="5">
        <f t="shared" si="0"/>
        <v>0</v>
      </c>
      <c r="G17" s="5"/>
      <c r="H17" s="5"/>
      <c r="J17" s="32" t="str">
        <f>_xlfn.CONCAT("&gt;SIS06AT+QCFG=",CHAR(34),"band",CHAR(34),",",H5,",",H21,",",H37,"&lt;")</f>
        <v>&gt;SIS06AT+QCFG="band",F,800000D,0&lt;</v>
      </c>
      <c r="K17" s="33"/>
      <c r="L17" s="33"/>
      <c r="M17" s="34"/>
    </row>
    <row r="18" spans="1:13" x14ac:dyDescent="0.25">
      <c r="A18" s="27"/>
      <c r="B18" s="9" t="s">
        <v>33</v>
      </c>
      <c r="C18" s="10"/>
      <c r="D18" s="5">
        <f>HEX2DEC(2000000)</f>
        <v>33554432</v>
      </c>
      <c r="E18" s="6" t="s">
        <v>23</v>
      </c>
      <c r="F18" s="5">
        <f t="shared" si="0"/>
        <v>0</v>
      </c>
      <c r="G18" s="5"/>
      <c r="H18" s="5"/>
      <c r="J18" s="32" t="str">
        <f>_xlfn.CONCAT("&gt;SIS07AT+QCFG=",CHAR(34),"nwscanseq",CHAR(34),",",IF(K2=1,"01",""),IF(K3=1,"02",""),IF(K4=1,"03",""),IF(K2=2,"01",""),IF(K3=2,"02",""),IF(K4=2,"03",""),IF(K2=3,"01",""),IF(K3=3,"02",""),IF(K4=3,"03",""),"&lt;")</f>
        <v>&gt;SIS07AT+QCFG="nwscanseq",0201&lt;</v>
      </c>
      <c r="K18" s="33"/>
      <c r="L18" s="33"/>
      <c r="M18" s="34"/>
    </row>
    <row r="19" spans="1:13" x14ac:dyDescent="0.25">
      <c r="A19" s="27"/>
      <c r="B19" s="9" t="s">
        <v>34</v>
      </c>
      <c r="C19" s="10"/>
      <c r="D19" s="5">
        <f>HEX2DEC(4000000)</f>
        <v>67108864</v>
      </c>
      <c r="E19" s="6" t="s">
        <v>23</v>
      </c>
      <c r="F19" s="5">
        <f t="shared" si="0"/>
        <v>0</v>
      </c>
      <c r="G19" s="5"/>
      <c r="H19" s="5"/>
      <c r="J19" s="32" t="str">
        <f>_xlfn.CONCAT("&gt;SIS08AT+QCFG=",CHAR(34),"nwscanmode",CHAR(34),",",IF(M5="Automático","0",""),IF(M5="GSM","1",""),IF(M5="LTE","2",""),",1","&lt;")</f>
        <v>&gt;SIS08AT+QCFG="nwscanmode",0,1&lt;</v>
      </c>
      <c r="K19" s="33"/>
      <c r="L19" s="33"/>
      <c r="M19" s="34"/>
    </row>
    <row r="20" spans="1:13" x14ac:dyDescent="0.25">
      <c r="A20" s="27"/>
      <c r="B20" s="3" t="s">
        <v>35</v>
      </c>
      <c r="C20" s="4">
        <v>700</v>
      </c>
      <c r="D20" s="5">
        <f>HEX2DEC(8000000)</f>
        <v>134217728</v>
      </c>
      <c r="E20" s="6" t="s">
        <v>12</v>
      </c>
      <c r="F20" s="5">
        <f t="shared" si="0"/>
        <v>134217728</v>
      </c>
      <c r="G20" s="5"/>
      <c r="H20" s="5"/>
      <c r="J20" s="35" t="str">
        <f>_xlfn.CONCAT("&gt;SIS09AT+QCFG=",CHAR(34),"iotopmode",CHAR(34),",",IF(M2="eMTC","0",""),IF(M2="NB-IoT","1",""),IF(M2="Ambos","2",""),",1","&lt;")</f>
        <v>&gt;SIS09AT+QCFG="iotopmode",0,1&lt;</v>
      </c>
      <c r="K20" s="36"/>
      <c r="L20" s="36"/>
      <c r="M20" s="37"/>
    </row>
    <row r="21" spans="1:13" x14ac:dyDescent="0.25">
      <c r="A21" s="27"/>
      <c r="B21" s="9" t="s">
        <v>36</v>
      </c>
      <c r="C21" s="10"/>
      <c r="D21" s="5">
        <f>HEX2DEC(40000000)</f>
        <v>1073741824</v>
      </c>
      <c r="E21" s="6" t="s">
        <v>23</v>
      </c>
      <c r="F21" s="5">
        <f t="shared" si="0"/>
        <v>0</v>
      </c>
      <c r="G21" s="5">
        <f>SUM(F6:F21)</f>
        <v>134217741</v>
      </c>
      <c r="H21" s="7" t="str">
        <f>DEC2HEX(G21)</f>
        <v>800000D</v>
      </c>
    </row>
    <row r="22" spans="1:13" x14ac:dyDescent="0.25">
      <c r="A22" s="25" t="s">
        <v>17</v>
      </c>
      <c r="B22" s="3" t="s">
        <v>22</v>
      </c>
      <c r="C22" s="4">
        <v>2100</v>
      </c>
      <c r="D22" s="5">
        <f>HEX2DEC(1)</f>
        <v>1</v>
      </c>
      <c r="E22" s="6" t="s">
        <v>23</v>
      </c>
      <c r="F22" s="5">
        <f t="shared" si="0"/>
        <v>0</v>
      </c>
      <c r="G22" s="5"/>
      <c r="H22" s="5"/>
    </row>
    <row r="23" spans="1:13" x14ac:dyDescent="0.25">
      <c r="A23" s="25"/>
      <c r="B23" s="3" t="s">
        <v>19</v>
      </c>
      <c r="C23" s="4">
        <v>1900</v>
      </c>
      <c r="D23" s="5">
        <f>HEX2DEC(2)</f>
        <v>2</v>
      </c>
      <c r="E23" s="6" t="s">
        <v>23</v>
      </c>
      <c r="F23" s="5">
        <f t="shared" si="0"/>
        <v>0</v>
      </c>
      <c r="G23" s="5"/>
      <c r="H23" s="5"/>
    </row>
    <row r="24" spans="1:13" x14ac:dyDescent="0.25">
      <c r="A24" s="25"/>
      <c r="B24" s="3" t="s">
        <v>15</v>
      </c>
      <c r="C24" s="4">
        <v>1800</v>
      </c>
      <c r="D24" s="5">
        <f>HEX2DEC(4)</f>
        <v>4</v>
      </c>
      <c r="E24" s="6" t="s">
        <v>23</v>
      </c>
      <c r="F24" s="5">
        <f t="shared" si="0"/>
        <v>0</v>
      </c>
      <c r="G24" s="5"/>
      <c r="H24" s="5"/>
    </row>
    <row r="25" spans="1:13" x14ac:dyDescent="0.25">
      <c r="A25" s="25"/>
      <c r="B25" s="9" t="s">
        <v>25</v>
      </c>
      <c r="C25" s="10">
        <v>1700</v>
      </c>
      <c r="D25" s="5">
        <f>HEX2DEC(8)</f>
        <v>8</v>
      </c>
      <c r="E25" s="6" t="s">
        <v>23</v>
      </c>
      <c r="F25" s="5">
        <f t="shared" si="0"/>
        <v>0</v>
      </c>
      <c r="G25" s="5"/>
      <c r="H25" s="5"/>
    </row>
    <row r="26" spans="1:13" x14ac:dyDescent="0.25">
      <c r="A26" s="25"/>
      <c r="B26" s="3" t="s">
        <v>16</v>
      </c>
      <c r="C26" s="4">
        <v>850</v>
      </c>
      <c r="D26" s="5">
        <f>HEX2DEC(10)</f>
        <v>16</v>
      </c>
      <c r="E26" s="6" t="s">
        <v>23</v>
      </c>
      <c r="F26" s="5">
        <f t="shared" si="0"/>
        <v>0</v>
      </c>
      <c r="G26" s="5"/>
      <c r="H26" s="5"/>
    </row>
    <row r="27" spans="1:13" x14ac:dyDescent="0.25">
      <c r="A27" s="25"/>
      <c r="B27" s="3" t="s">
        <v>11</v>
      </c>
      <c r="C27" s="4">
        <v>900</v>
      </c>
      <c r="D27" s="5">
        <f>HEX2DEC(80)</f>
        <v>128</v>
      </c>
      <c r="E27" s="6" t="s">
        <v>23</v>
      </c>
      <c r="F27" s="5">
        <f t="shared" si="0"/>
        <v>0</v>
      </c>
      <c r="G27" s="5"/>
      <c r="H27" s="5"/>
    </row>
    <row r="28" spans="1:13" x14ac:dyDescent="0.25">
      <c r="A28" s="25"/>
      <c r="B28" s="9" t="s">
        <v>26</v>
      </c>
      <c r="C28" s="10"/>
      <c r="D28" s="5">
        <f>HEX2DEC(800)</f>
        <v>2048</v>
      </c>
      <c r="E28" s="6" t="s">
        <v>23</v>
      </c>
      <c r="F28" s="5">
        <f t="shared" si="0"/>
        <v>0</v>
      </c>
      <c r="G28" s="5"/>
      <c r="H28" s="5"/>
      <c r="J28" s="38" t="s">
        <v>37</v>
      </c>
      <c r="K28" s="39"/>
      <c r="L28" s="39"/>
      <c r="M28" s="40"/>
    </row>
    <row r="29" spans="1:13" x14ac:dyDescent="0.25">
      <c r="A29" s="25"/>
      <c r="B29" s="9" t="s">
        <v>27</v>
      </c>
      <c r="C29" s="10"/>
      <c r="D29" s="5">
        <f>HEX2DEC(1000)</f>
        <v>4096</v>
      </c>
      <c r="E29" s="6" t="s">
        <v>23</v>
      </c>
      <c r="F29" s="5">
        <f t="shared" si="0"/>
        <v>0</v>
      </c>
      <c r="G29" s="5"/>
      <c r="H29" s="5"/>
      <c r="J29" s="11"/>
      <c r="M29" s="12"/>
    </row>
    <row r="30" spans="1:13" x14ac:dyDescent="0.25">
      <c r="A30" s="25"/>
      <c r="B30" s="9" t="s">
        <v>28</v>
      </c>
      <c r="C30" s="10"/>
      <c r="D30" s="5">
        <f>HEX2DEC(20000)</f>
        <v>131072</v>
      </c>
      <c r="E30" s="6" t="s">
        <v>23</v>
      </c>
      <c r="F30" s="5">
        <f t="shared" si="0"/>
        <v>0</v>
      </c>
      <c r="G30" s="5"/>
      <c r="H30" s="5"/>
      <c r="J30" s="13" t="s">
        <v>38</v>
      </c>
      <c r="K30" s="14"/>
      <c r="L30" s="14"/>
      <c r="M30" s="15"/>
    </row>
    <row r="31" spans="1:13" x14ac:dyDescent="0.25">
      <c r="A31" s="25"/>
      <c r="B31" s="9" t="s">
        <v>29</v>
      </c>
      <c r="C31" s="10"/>
      <c r="D31" s="5">
        <f>HEX2DEC(40000)</f>
        <v>262144</v>
      </c>
      <c r="E31" s="6" t="s">
        <v>23</v>
      </c>
      <c r="F31" s="5">
        <f t="shared" si="0"/>
        <v>0</v>
      </c>
      <c r="G31" s="5"/>
      <c r="H31" s="5"/>
      <c r="J31" s="11"/>
      <c r="M31" s="12"/>
    </row>
    <row r="32" spans="1:13" x14ac:dyDescent="0.25">
      <c r="A32" s="25"/>
      <c r="B32" s="9" t="s">
        <v>30</v>
      </c>
      <c r="C32" s="10"/>
      <c r="D32" s="5">
        <f>HEX2DEC(80000)</f>
        <v>524288</v>
      </c>
      <c r="E32" s="6" t="s">
        <v>23</v>
      </c>
      <c r="F32" s="5">
        <f t="shared" si="0"/>
        <v>0</v>
      </c>
      <c r="G32" s="5"/>
      <c r="H32" s="5"/>
      <c r="J32" s="16" t="s">
        <v>39</v>
      </c>
      <c r="K32" s="17"/>
      <c r="L32" s="17"/>
      <c r="M32" s="18"/>
    </row>
    <row r="33" spans="1:13" x14ac:dyDescent="0.25">
      <c r="A33" s="25"/>
      <c r="B33" s="9" t="s">
        <v>32</v>
      </c>
      <c r="C33" s="10"/>
      <c r="D33" s="5"/>
      <c r="E33" s="6" t="s">
        <v>23</v>
      </c>
      <c r="F33" s="5">
        <f t="shared" si="0"/>
        <v>0</v>
      </c>
      <c r="G33" s="5"/>
      <c r="H33" s="5"/>
      <c r="J33" s="41" t="s">
        <v>40</v>
      </c>
      <c r="K33" s="42"/>
      <c r="L33" s="42"/>
      <c r="M33" s="43"/>
    </row>
    <row r="34" spans="1:13" x14ac:dyDescent="0.25">
      <c r="A34" s="25"/>
      <c r="B34" s="9" t="s">
        <v>33</v>
      </c>
      <c r="C34" s="10"/>
      <c r="D34" s="5">
        <f>HEX2DEC(2000000)</f>
        <v>33554432</v>
      </c>
      <c r="E34" s="6" t="s">
        <v>23</v>
      </c>
      <c r="F34" s="5">
        <f t="shared" si="0"/>
        <v>0</v>
      </c>
      <c r="G34" s="5"/>
      <c r="H34" s="5"/>
      <c r="J34" s="11" t="s">
        <v>41</v>
      </c>
      <c r="M34" s="12"/>
    </row>
    <row r="35" spans="1:13" x14ac:dyDescent="0.25">
      <c r="A35" s="25"/>
      <c r="B35" s="9" t="s">
        <v>34</v>
      </c>
      <c r="C35" s="10"/>
      <c r="D35" s="5"/>
      <c r="E35" s="6" t="s">
        <v>23</v>
      </c>
      <c r="F35" s="5">
        <f t="shared" si="0"/>
        <v>0</v>
      </c>
      <c r="G35" s="5"/>
      <c r="H35" s="5"/>
      <c r="J35" s="41" t="s">
        <v>42</v>
      </c>
      <c r="K35" s="42"/>
      <c r="L35" s="42"/>
      <c r="M35" s="43"/>
    </row>
    <row r="36" spans="1:13" x14ac:dyDescent="0.25">
      <c r="A36" s="25"/>
      <c r="B36" s="3" t="s">
        <v>35</v>
      </c>
      <c r="C36" s="4">
        <v>700</v>
      </c>
      <c r="D36" s="5">
        <f>HEX2DEC(8000000)</f>
        <v>134217728</v>
      </c>
      <c r="E36" s="6" t="s">
        <v>23</v>
      </c>
      <c r="F36" s="5">
        <f t="shared" si="0"/>
        <v>0</v>
      </c>
      <c r="G36" s="5"/>
      <c r="H36" s="5"/>
      <c r="J36" s="19" t="s">
        <v>43</v>
      </c>
      <c r="K36" s="20"/>
      <c r="L36" s="20"/>
      <c r="M36" s="21"/>
    </row>
    <row r="37" spans="1:13" x14ac:dyDescent="0.25">
      <c r="A37" s="25"/>
      <c r="B37" s="9" t="s">
        <v>36</v>
      </c>
      <c r="C37" s="10"/>
      <c r="D37" s="5">
        <f>HEX2DEC(40000000)</f>
        <v>1073741824</v>
      </c>
      <c r="E37" s="6" t="s">
        <v>23</v>
      </c>
      <c r="F37" s="5">
        <f t="shared" si="0"/>
        <v>0</v>
      </c>
      <c r="G37" s="5">
        <f>SUM(F22:F37)</f>
        <v>0</v>
      </c>
      <c r="H37" s="7" t="str">
        <f>DEC2HEX(G37)</f>
        <v>0</v>
      </c>
      <c r="J37" s="22" t="s">
        <v>44</v>
      </c>
      <c r="K37" s="23"/>
      <c r="L37" s="23"/>
      <c r="M37" s="24"/>
    </row>
  </sheetData>
  <sheetProtection algorithmName="SHA-512" hashValue="5J1/UWv891CiIQjgUFNxYqkvjpW80cpQHrOVxeNYHdwWAwj5RwZMIWi/pzD9iiiFwciYOtRtwgH5rE36ryZxgg==" saltValue="9SuVP4obzao218O8Ry84JA==" spinCount="100000" sheet="1" objects="1" scenarios="1"/>
  <protectedRanges>
    <protectedRange sqref="E2:E37 K2:K4 M2 M5" name="Intervalo1"/>
  </protectedRanges>
  <mergeCells count="18">
    <mergeCell ref="A22:A37"/>
    <mergeCell ref="J28:M28"/>
    <mergeCell ref="J33:M33"/>
    <mergeCell ref="J35:M35"/>
    <mergeCell ref="J9:M9"/>
    <mergeCell ref="J10:M10"/>
    <mergeCell ref="J11:M11"/>
    <mergeCell ref="J12:M12"/>
    <mergeCell ref="J13:M13"/>
    <mergeCell ref="J14:M14"/>
    <mergeCell ref="A2:A5"/>
    <mergeCell ref="A6:A21"/>
    <mergeCell ref="J8:M8"/>
    <mergeCell ref="J16:M16"/>
    <mergeCell ref="J17:M17"/>
    <mergeCell ref="J18:M18"/>
    <mergeCell ref="J19:M19"/>
    <mergeCell ref="J20:M20"/>
  </mergeCells>
  <conditionalFormatting sqref="E2:E37">
    <cfRule type="containsText" dxfId="1" priority="1" operator="containsText" text="NÃO">
      <formula>NOT(ISERROR(SEARCH("NÃO",E2)))</formula>
    </cfRule>
    <cfRule type="containsText" dxfId="0" priority="2" operator="containsText" text="SIM">
      <formula>NOT(ISERROR(SEARCH("SIM",E2)))</formula>
    </cfRule>
  </conditionalFormatting>
  <dataValidations count="4">
    <dataValidation type="list" allowBlank="1" showInputMessage="1" showErrorMessage="1" sqref="K2:K4" xr:uid="{15497FDA-A036-4957-8F54-97B0B7219251}">
      <formula1>"1,2,3"</formula1>
    </dataValidation>
    <dataValidation type="list" allowBlank="1" showInputMessage="1" showErrorMessage="1" sqref="E2:E37" xr:uid="{98A0AC90-F8BD-4213-990B-B9E566E59F4D}">
      <formula1>"SIM,NÃO"</formula1>
    </dataValidation>
    <dataValidation type="list" allowBlank="1" showInputMessage="1" showErrorMessage="1" sqref="M5" xr:uid="{87C3D02D-3D10-4BC5-B42E-BDB78E84DDD7}">
      <formula1>"Automático,GSM,LTE"</formula1>
    </dataValidation>
    <dataValidation type="list" allowBlank="1" showInputMessage="1" showErrorMessage="1" sqref="M2" xr:uid="{038A11EE-E3FB-4BC1-95CB-7B080084DEFD}">
      <formula1>"eMTC,NB-IoT,Ambos"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Configuração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2023-05-22T13:28:14Z</dcterms:created>
  <dcterms:modified xsi:type="dcterms:W3CDTF">2023-06-06T18:10:12Z</dcterms:modified>
</cp:coreProperties>
</file>